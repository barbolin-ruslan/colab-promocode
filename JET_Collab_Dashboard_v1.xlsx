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rtões Pendentes" sheetId="2" state="visible" r:id="rId2"/>
    <sheet name="Metodologia" sheetId="3" state="visible" r:id="rId3"/>
    <sheet name="Data" sheetId="4" state="visible" r:id="rId4"/>
    <sheet name="Snapshots seman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R$ #,##0.00"/>
    <numFmt numFmtId="167" formatCode="0.0%"/>
    <numFmt numFmtId="168" formatCode="R$ 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</font>
    <font>
      <name val="Arial"/>
    </font>
    <font>
      <name val="Arial"/>
      <i val="1"/>
      <color rgb="00595959"/>
    </font>
    <font>
      <name val="Arial"/>
      <b val="1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b val="1"/>
      <color rgb="001F4E79"/>
      <sz val="12"/>
    </font>
    <font>
      <name val="Arial"/>
      <b val="1"/>
      <color rgb="00595959"/>
      <sz val="12"/>
    </font>
    <font>
      <name val="Arial"/>
      <b val="1"/>
      <color rgb="007F7F7F"/>
      <sz val="10"/>
    </font>
    <font>
      <name val="Arial"/>
      <b val="1"/>
      <i val="1"/>
      <color rgb="00A6A6A6"/>
      <sz val="18"/>
    </font>
    <font>
      <name val="Arial"/>
      <i val="1"/>
      <color rgb="007F7F7F"/>
      <sz val="8"/>
    </font>
    <font>
      <name val="Arial"/>
      <b val="1"/>
      <color rgb="001F4E79"/>
      <sz val="14"/>
    </font>
    <font>
      <name val="Arial"/>
      <i val="1"/>
    </font>
  </fonts>
  <fills count="1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A4A4A"/>
      </patternFill>
    </fill>
    <fill>
      <patternFill patternType="solid">
        <fgColor rgb="000F2A47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203864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dashed">
        <color rgb="00BFBFBF"/>
      </left>
      <right style="dashed">
        <color rgb="00BFBFBF"/>
      </right>
      <top style="dashed">
        <color rgb="00BFBFBF"/>
      </top>
      <bottom style="dashed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167" fontId="8" fillId="9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center" vertical="center" wrapText="1"/>
    </xf>
    <xf numFmtId="168" fontId="8" fillId="11" borderId="1" applyAlignment="1" pivotButton="0" quotePrefix="0" xfId="0">
      <alignment horizontal="center" vertical="center" wrapText="1"/>
    </xf>
    <xf numFmtId="168" fontId="8" fillId="12" borderId="1" applyAlignment="1" pivotButton="0" quotePrefix="0" xfId="0">
      <alignment horizontal="center" vertical="center" wrapText="1"/>
    </xf>
    <xf numFmtId="166" fontId="8" fillId="13" borderId="1" applyAlignment="1" pivotButton="0" quotePrefix="0" xfId="0">
      <alignment horizontal="center" vertical="center" wrapText="1"/>
    </xf>
    <xf numFmtId="9" fontId="8" fillId="1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15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0" fillId="7" borderId="1" pivotButton="0" quotePrefix="0" xfId="0"/>
    <xf numFmtId="166" fontId="5" fillId="7" borderId="1" pivotButton="0" quotePrefix="0" xfId="0"/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Receita Cash vs. Bônus por promocode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'Dashboard'!I10</f>
            </strRef>
          </tx>
          <spPr>
            <a:ln>
              <a:prstDash val="solid"/>
            </a:ln>
          </spPr>
          <cat>
            <numRef>
              <f>'Dashboard'!$B$11:$B$13</f>
            </numRef>
          </cat>
          <val>
            <numRef>
              <f>'Dashboard'!$I$11:$I$13</f>
            </numRef>
          </val>
        </ser>
        <ser>
          <idx val="1"/>
          <order val="1"/>
          <tx>
            <strRef>
              <f>'Dashboard'!J10</f>
            </strRef>
          </tx>
          <spPr>
            <a:ln>
              <a:prstDash val="solid"/>
            </a:ln>
          </spPr>
          <cat>
            <numRef>
              <f>'Dashboard'!$B$11:$B$13</f>
            </numRef>
          </cat>
          <val>
            <numRef>
              <f>'Dashboard'!$J$11:$J$13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ROI por promocode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'Dashboard'!K10</f>
            </strRef>
          </tx>
          <spPr>
            <a:ln>
              <a:prstDash val="solid"/>
            </a:ln>
          </spPr>
          <cat>
            <numRef>
              <f>'Dashboard'!$B$11:$B$13</f>
            </numRef>
          </cat>
          <val>
            <numRef>
              <f>'Dashboard'!$K$11:$K$13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Utilização do orçamento de bônus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'Dashboard'!L10</f>
            </strRef>
          </tx>
          <spPr>
            <a:ln>
              <a:prstDash val="solid"/>
            </a:ln>
          </spPr>
          <cat>
            <numRef>
              <f>'Dashboard'!$B$11:$B$13</f>
            </numRef>
          </cat>
          <val>
            <numRef>
              <f>'Dashboard'!$L$11:$L$13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Corridas: CSV (promo) vs. Excel (lifetime)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'Data'!J2</f>
            </strRef>
          </tx>
          <spPr>
            <a:ln>
              <a:prstDash val="solid"/>
            </a:ln>
          </spPr>
          <cat>
            <numRef>
              <f>'Data'!$A$3:$A$5</f>
            </numRef>
          </cat>
          <val>
            <numRef>
              <f>'Data'!$J$3:$J$5</f>
            </numRef>
          </val>
        </ser>
        <ser>
          <idx val="1"/>
          <order val="1"/>
          <tx>
            <strRef>
              <f>'Data'!S2</f>
            </strRef>
          </tx>
          <spPr>
            <a:ln>
              <a:prstDash val="solid"/>
            </a:ln>
          </spPr>
          <cat>
            <numRef>
              <f>'Data'!$A$3:$A$5</f>
            </numRef>
          </cat>
          <val>
            <numRef>
              <f>'Data'!$S$3:$S$5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41</row>
      <rowOff>0</rowOff>
    </from>
    <ext cx="64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 ht="22" customHeight="1">
      <c r="B2" s="1" t="inlineStr">
        <is>
          <t>JET Collaborations — Dashboard de eficiência (CSV de 28/05 como primária)</t>
        </is>
      </c>
    </row>
    <row r="3" ht="22" customHeight="1"/>
    <row r="4" ht="28" customHeight="1">
      <c r="B4" s="2" t="inlineStr">
        <is>
          <t>Período: lançamento dos cupons → 28/05/2026 • Atualização semanal • Resp.: Ruslan Barbolin • Em divergências não-críticas, CSV (mais recente) prevalece sobre Excel (24/05)</t>
        </is>
      </c>
    </row>
    <row r="5" ht="8" customHeight="1"/>
    <row r="6" ht="18" customHeight="1">
      <c r="B6" s="3" t="inlineStr">
        <is>
          <t>Ativações totais</t>
        </is>
      </c>
      <c r="C6" s="4" t="inlineStr">
        <is>
          <t>% novos clientes</t>
        </is>
      </c>
      <c r="D6" s="5" t="inlineStr">
        <is>
          <t>Corridas (promo)</t>
        </is>
      </c>
      <c r="E6" s="6" t="inlineStr">
        <is>
          <t>GMV total (R$)</t>
        </is>
      </c>
      <c r="F6" s="7" t="inlineStr">
        <is>
          <t>Receita Cash (R$)</t>
        </is>
      </c>
      <c r="G6" s="8" t="inlineStr">
        <is>
          <t>Custo do bônus (R$)</t>
        </is>
      </c>
      <c r="H6" s="9" t="inlineStr">
        <is>
          <t>ROI</t>
        </is>
      </c>
    </row>
    <row r="7" ht="52" customHeight="1">
      <c r="B7" s="10">
        <f>Data!G6</f>
        <v/>
      </c>
      <c r="C7" s="11">
        <f>IFERROR(Data!H6/Data!G6,0)</f>
        <v/>
      </c>
      <c r="D7" s="12">
        <f>Data!J6</f>
        <v/>
      </c>
      <c r="E7" s="13">
        <f>(Data!N6+Data!P6)</f>
        <v/>
      </c>
      <c r="F7" s="14">
        <f>(Data!O6+Data!Q6)</f>
        <v/>
      </c>
      <c r="G7" s="15">
        <f>((Data!N6+Data!P6)-(Data!O6+Data!Q6))</f>
        <v/>
      </c>
      <c r="H7" s="16">
        <f>IFERROR(((Data!O6+Data!Q6)-((Data!N6+Data!P6)-(Data!O6+Data!Q6)))/((Data!N6+Data!P6)-(Data!O6+Data!Q6)),0)</f>
        <v/>
      </c>
    </row>
    <row r="8" ht="8" customHeight="1"/>
    <row r="9">
      <c r="B9" s="17" t="inlineStr">
        <is>
          <t>Detalhamento por promocode — dados do CSV (28/05)</t>
        </is>
      </c>
    </row>
    <row r="10" ht="44" customHeight="1">
      <c r="B10" s="18" t="inlineStr">
        <is>
          <t>Promocode</t>
        </is>
      </c>
      <c r="C10" s="18" t="inlineStr">
        <is>
          <t>Campanha</t>
        </is>
      </c>
      <c r="D10" s="18" t="inlineStr">
        <is>
          <t>Ativações</t>
        </is>
      </c>
      <c r="E10" s="18" t="inlineStr">
        <is>
          <t>% novos</t>
        </is>
      </c>
      <c r="F10" s="18" t="inlineStr">
        <is>
          <t>Corridas</t>
        </is>
      </c>
      <c r="G10" s="18" t="inlineStr">
        <is>
          <t>Aluguéis PB</t>
        </is>
      </c>
      <c r="H10" s="18" t="inlineStr">
        <is>
          <t>GMV (R$)</t>
        </is>
      </c>
      <c r="I10" s="18" t="inlineStr">
        <is>
          <t>Cash (R$)</t>
        </is>
      </c>
      <c r="J10" s="18" t="inlineStr">
        <is>
          <t>Bônus (R$)</t>
        </is>
      </c>
      <c r="K10" s="18" t="inlineStr">
        <is>
          <t>ROI</t>
        </is>
      </c>
      <c r="L10" s="18" t="inlineStr">
        <is>
          <t>Util. orçamento</t>
        </is>
      </c>
    </row>
    <row r="11">
      <c r="B11" s="19">
        <f>Data!A3</f>
        <v/>
      </c>
      <c r="C11" s="20">
        <f>Data!B3</f>
        <v/>
      </c>
      <c r="D11" s="21">
        <f>Data!G3</f>
        <v/>
      </c>
      <c r="E11" s="22">
        <f>IFERROR(Data!H3/Data!G3,0)</f>
        <v/>
      </c>
      <c r="F11" s="21">
        <f>Data!J3</f>
        <v/>
      </c>
      <c r="G11" s="21">
        <f>Data!K3</f>
        <v/>
      </c>
      <c r="H11" s="23">
        <f>Data!N3+Data!P3</f>
        <v/>
      </c>
      <c r="I11" s="23">
        <f>Data!O3+Data!Q3</f>
        <v/>
      </c>
      <c r="J11" s="23">
        <f>(Data!N3+Data!P3)-(Data!O3+Data!Q3)</f>
        <v/>
      </c>
      <c r="K11" s="24">
        <f>IFERROR((I11-J11)/J11,0)</f>
        <v/>
      </c>
      <c r="L11" s="25">
        <f>IFERROR(J11/Data!R3,0)</f>
        <v/>
      </c>
    </row>
    <row r="12">
      <c r="B12" s="19">
        <f>Data!A4</f>
        <v/>
      </c>
      <c r="C12" s="20">
        <f>Data!B4</f>
        <v/>
      </c>
      <c r="D12" s="21">
        <f>Data!G4</f>
        <v/>
      </c>
      <c r="E12" s="22">
        <f>IFERROR(Data!H4/Data!G4,0)</f>
        <v/>
      </c>
      <c r="F12" s="21">
        <f>Data!J4</f>
        <v/>
      </c>
      <c r="G12" s="21">
        <f>Data!K4</f>
        <v/>
      </c>
      <c r="H12" s="23">
        <f>Data!N4+Data!P4</f>
        <v/>
      </c>
      <c r="I12" s="23">
        <f>Data!O4+Data!Q4</f>
        <v/>
      </c>
      <c r="J12" s="23">
        <f>(Data!N4+Data!P4)-(Data!O4+Data!Q4)</f>
        <v/>
      </c>
      <c r="K12" s="24">
        <f>IFERROR((I12-J12)/J12,0)</f>
        <v/>
      </c>
      <c r="L12" s="25">
        <f>IFERROR(J12/Data!R4,0)</f>
        <v/>
      </c>
    </row>
    <row r="13">
      <c r="B13" s="19">
        <f>Data!A5</f>
        <v/>
      </c>
      <c r="C13" s="20">
        <f>Data!B5</f>
        <v/>
      </c>
      <c r="D13" s="21">
        <f>Data!G5</f>
        <v/>
      </c>
      <c r="E13" s="22">
        <f>IFERROR(Data!H5/Data!G5,0)</f>
        <v/>
      </c>
      <c r="F13" s="21">
        <f>Data!J5</f>
        <v/>
      </c>
      <c r="G13" s="21">
        <f>Data!K5</f>
        <v/>
      </c>
      <c r="H13" s="23">
        <f>Data!N5+Data!P5</f>
        <v/>
      </c>
      <c r="I13" s="23">
        <f>Data!O5+Data!Q5</f>
        <v/>
      </c>
      <c r="J13" s="23">
        <f>(Data!N5+Data!P5)-(Data!O5+Data!Q5)</f>
        <v/>
      </c>
      <c r="K13" s="24">
        <f>IFERROR((I13-J13)/J13,0)</f>
        <v/>
      </c>
      <c r="L13" s="25">
        <f>IFERROR(J13/Data!R5,0)</f>
        <v/>
      </c>
    </row>
    <row r="14">
      <c r="B14" s="26" t="inlineStr">
        <is>
          <t>TOTAL</t>
        </is>
      </c>
      <c r="C14" s="26" t="n"/>
      <c r="D14" s="27">
        <f>SUM(D11:D13)</f>
        <v/>
      </c>
      <c r="E14" s="28">
        <f>IFERROR(SUM(Data!H3:H5)/SUM(Data!G3:G5),0)</f>
        <v/>
      </c>
      <c r="F14" s="27">
        <f>SUM(F11:F13)</f>
        <v/>
      </c>
      <c r="G14" s="27">
        <f>SUM(G11:G13)</f>
        <v/>
      </c>
      <c r="H14" s="29">
        <f>SUM(H11:H13)</f>
        <v/>
      </c>
      <c r="I14" s="29">
        <f>SUM(I11:I13)</f>
        <v/>
      </c>
      <c r="J14" s="29">
        <f>SUM(J11:J13)</f>
        <v/>
      </c>
      <c r="K14" s="30">
        <f>IFERROR((I14-J14)/J14,0)</f>
        <v/>
      </c>
      <c r="L14" s="31">
        <f>IFERROR(SUM(J11:J13)/SUM(Data!R3:R5),0)</f>
        <v/>
      </c>
    </row>
    <row r="17">
      <c r="B17" s="32" t="inlineStr">
        <is>
          <t>📦 KPIs FUTUROS — aguardando dados dos analistas</t>
        </is>
      </c>
    </row>
    <row r="18" ht="18" customHeight="1">
      <c r="B18" s="33" t="inlineStr">
        <is>
          <t>CR1: cliques → ativações</t>
        </is>
      </c>
      <c r="C18" s="33" t="inlineStr">
        <is>
          <t>CR2: ativações → 1ª corrida</t>
        </is>
      </c>
      <c r="D18" s="33" t="inlineStr">
        <is>
          <t>LTV / cohort 30/60/90 dias</t>
        </is>
      </c>
      <c r="E18" s="33" t="inlineStr">
        <is>
          <t>CAC vs canais alternativos</t>
        </is>
      </c>
      <c r="F18" s="33" t="inlineStr">
        <is>
          <t>Custo de placement (parceiro)</t>
        </is>
      </c>
      <c r="G18" s="33" t="inlineStr">
        <is>
          <t>Distribuição geográfica</t>
        </is>
      </c>
      <c r="H18" s="33" t="inlineStr">
        <is>
          <t>Dinâmica W/W</t>
        </is>
      </c>
    </row>
    <row r="19" ht="42" customHeight="1">
      <c r="B19" s="34" t="inlineStr">
        <is>
          <t>—</t>
        </is>
      </c>
      <c r="C19" s="34" t="inlineStr">
        <is>
          <t>—</t>
        </is>
      </c>
      <c r="D19" s="34" t="inlineStr">
        <is>
          <t>—</t>
        </is>
      </c>
      <c r="E19" s="34" t="inlineStr">
        <is>
          <t>—</t>
        </is>
      </c>
      <c r="F19" s="34" t="inlineStr">
        <is>
          <t>—</t>
        </is>
      </c>
      <c r="G19" s="34" t="inlineStr">
        <is>
          <t>—</t>
        </is>
      </c>
      <c r="H19" s="34" t="inlineStr">
        <is>
          <t>—</t>
        </is>
      </c>
    </row>
    <row r="20" ht="24" customHeight="1">
      <c r="B20" s="35" t="inlineStr">
        <is>
          <t>Pedido por Ilya (07.05)</t>
        </is>
      </c>
      <c r="C20" s="35" t="inlineStr">
        <is>
          <t>Próximo passo do funil</t>
        </is>
      </c>
      <c r="D20" s="35" t="inlineStr">
        <is>
          <t>Resolve gap CSV vs Excel (lifetime)</t>
        </is>
      </c>
      <c r="E20" s="35" t="inlineStr">
        <is>
          <t>Hipótese de Ruslan</t>
        </is>
      </c>
      <c r="F20" s="35" t="inlineStr">
        <is>
          <t>Não incluído no custo total</t>
        </is>
      </c>
      <c r="G20" s="35" t="inlineStr">
        <is>
          <t>Hipótese de Ruslan</t>
        </is>
      </c>
      <c r="H20" s="35" t="inlineStr">
        <is>
          <t>Pedido por Ilya</t>
        </is>
      </c>
    </row>
    <row r="61">
      <c r="B61" s="17" t="inlineStr">
        <is>
          <t>Insights &amp; ações sugeridas (CSV 28/05)</t>
        </is>
      </c>
    </row>
    <row r="62" ht="28" customHeight="1">
      <c r="B62" s="36" t="inlineStr">
        <is>
          <t>🔥 ONDEIRBC1 (блоггер) — campeão: ROI ~1.218%, 414 corridas, R$ 3.671 Cash. Util. orçamento 4.5%. Replicar formato com outros blogueiros.</t>
        </is>
      </c>
    </row>
    <row r="63" ht="28" customHeight="1">
      <c r="B63" s="36" t="inlineStr">
        <is>
          <t>🔥 NIX (instagram) — ROI ~1.010%, 187 corridas, R$ 1.705 Cash. Util. orçamento 6.15%. Mídia paga funciona — considerar escala.</t>
        </is>
      </c>
    </row>
    <row r="64" ht="28" customHeight="1">
      <c r="B64" s="36" t="inlineStr">
        <is>
          <t>⚠️ HUBEES — 26 corridas, R$ 355 Cash. ROI 432% direto, mas Excel mostra 446 corridas lifetime (efeito halo). Validar com analistas qual é a métrica «verdadeira».</t>
        </is>
      </c>
    </row>
    <row r="65" ht="28" customHeight="1">
      <c r="B65" s="36" t="inlineStr">
        <is>
          <t>📊 Gap CSV (26 corridas HUBEES) vs Excel (446) NÃO é por defasagem de 4 dias — é diferença de escopo: CSV = janela de campanha; Excel = lifetime cohort. Vide card «LTV 30/60/90» em Pending.</t>
        </is>
      </c>
    </row>
    <row r="66" ht="28" customHeight="1">
      <c r="B66" s="36" t="inlineStr">
        <is>
          <t>📈 % de novos clientes (CSV): HUBEES 97%, NIX 96%, ONDEIRBC1 99%. Praticamente todos ativadores são novos — promo cumpre função de captação.</t>
        </is>
      </c>
    </row>
  </sheetData>
  <mergeCells count="10">
    <mergeCell ref="B4:L4"/>
    <mergeCell ref="B65:L65"/>
    <mergeCell ref="B62:L62"/>
    <mergeCell ref="B64:L64"/>
    <mergeCell ref="B2:L3"/>
    <mergeCell ref="B17:L17"/>
    <mergeCell ref="B66:L66"/>
    <mergeCell ref="B63:L63"/>
    <mergeCell ref="B61:L61"/>
    <mergeCell ref="B9:L9"/>
  </mergeCells>
  <conditionalFormatting sqref="K11:K13">
    <cfRule type="colorScale" priority="1">
      <colorScale>
        <cfvo type="num" val="0"/>
        <cfvo type="num" val="3"/>
        <cfvo type="num" val="10"/>
        <color rgb="00F8696B"/>
        <color rgb="00FFEB84"/>
        <color rgb="0063BE7B"/>
      </colorScale>
    </cfRule>
  </conditionalFormatting>
  <conditionalFormatting sqref="D11:D13">
    <cfRule type="dataBar" priority="2">
      <dataBar>
        <cfvo type="min"/>
        <cfvo type="max"/>
        <color rgb="002E75B6"/>
      </dataBar>
    </cfRule>
  </conditionalFormatting>
  <conditionalFormatting sqref="H11:H13">
    <cfRule type="dataBar" priority="3">
      <dataBar>
        <cfvo type="min"/>
        <cfvo type="max"/>
        <color rgb="0000B05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20" customWidth="1" min="4" max="4"/>
    <col width="48" customWidth="1" min="5" max="5"/>
    <col width="48" customWidth="1" min="6" max="6"/>
    <col width="36" customWidth="1" min="7" max="7"/>
  </cols>
  <sheetData>
    <row r="2">
      <c r="B2" s="37" t="inlineStr">
        <is>
          <t>Cartões pendentes — perguntas de Ilya &amp; hipóteses de Ruslan que precisam de dados dos analistas</t>
        </is>
      </c>
    </row>
    <row r="4" ht="38" customHeight="1">
      <c r="A4" s="18" t="inlineStr">
        <is>
          <t>#</t>
        </is>
      </c>
      <c r="B4" s="18" t="inlineStr">
        <is>
          <t>Cartão</t>
        </is>
      </c>
      <c r="C4" s="18" t="inlineStr">
        <is>
          <t>Pergunta original</t>
        </is>
      </c>
      <c r="D4" s="18" t="inlineStr">
        <is>
          <t>Quem pediu</t>
        </is>
      </c>
      <c r="E4" s="18" t="inlineStr">
        <is>
          <t>Por que importa</t>
        </is>
      </c>
      <c r="F4" s="18" t="inlineStr">
        <is>
          <t>O que precisamos dos analistas</t>
        </is>
      </c>
      <c r="G4" s="18" t="inlineStr">
        <is>
          <t>Status / ETA</t>
        </is>
      </c>
    </row>
    <row r="5" ht="70" customHeight="1">
      <c r="A5" s="19" t="n">
        <v>1</v>
      </c>
      <c r="B5" s="38" t="inlineStr">
        <is>
          <t>Funil clicks → ativações (CR1)</t>
        </is>
      </c>
      <c r="C5" s="39" t="inlineStr">
        <is>
          <t>«Переходы по ссылкам, в штуках и деньгах»</t>
        </is>
      </c>
      <c r="D5" s="40" t="inlineStr">
        <is>
          <t>Ilya (07.05.2026, 15:11)</t>
        </is>
      </c>
      <c r="E5" s="40" t="inlineStr">
        <is>
          <t>Sem cliques não fechamos o funil. CR1 mostra eficiência da landing/canal antes da ativação.</t>
        </is>
      </c>
      <c r="F5" s="40" t="inlineStr">
        <is>
          <t>Кол-во кликов по UTM каждого промокода + источник (Instagram/email/banner partner).</t>
        </is>
      </c>
      <c r="G5" s="38" t="inlineStr">
        <is>
          <t>🔴 Aguardando — pedir aos partners + Sirius BI</t>
        </is>
      </c>
    </row>
    <row r="6" ht="70" customHeight="1">
      <c r="A6" s="19" t="n">
        <v>2</v>
      </c>
      <c r="B6" s="38" t="inlineStr">
        <is>
          <t>Funil ativações → 1ª corrida (CR2)</t>
        </is>
      </c>
      <c r="C6" s="39" t="inlineStr">
        <is>
          <t>Continuação lógica do funil</t>
        </is>
      </c>
      <c r="D6" s="40" t="inlineStr">
        <is>
          <t>Ruslan (hipótese)</t>
        </is>
      </c>
      <c r="E6" s="40" t="inlineStr">
        <is>
          <t>CSV já tem «Кол-во первых поездок» (8/27/105). Falta visualização cohort + tempo até 1ª corrida.</t>
        </is>
      </c>
      <c r="F6" s="40" t="inlineStr">
        <is>
          <t>Dias entre ativação e 1ª corrida + % de ativados que viraram corrida (cohort).</t>
        </is>
      </c>
      <c r="G6" s="38" t="inlineStr">
        <is>
          <t>🟡 Parcial — dados existem, falta apresentação</t>
        </is>
      </c>
    </row>
    <row r="7" ht="70" customHeight="1">
      <c r="A7" s="19" t="n">
        <v>3</v>
      </c>
      <c r="B7" s="38" t="inlineStr">
        <is>
          <t>LTV / retention 30/60/90 dias</t>
        </is>
      </c>
      <c r="C7" s="39" t="inlineStr">
        <is>
          <t>Resolve discrepância CSV 26 vs Excel 446 corridas (HUBEES)</t>
        </is>
      </c>
      <c r="D7" s="40" t="inlineStr">
        <is>
          <t>Ruslan (hipótese halo)</t>
        </is>
      </c>
      <c r="E7" s="40" t="inlineStr">
        <is>
          <t>CSV mede só janela de campanha. Para ROI completo, precisamos saber o que os usuários fazem 30/60/90 dias DEPOIS.</t>
        </is>
      </c>
      <c r="F7" s="40" t="inlineStr">
        <is>
          <t>Cohort de usuários ativados, GMV Cash mês a mês durante 90 dias após ativação.</t>
        </is>
      </c>
      <c r="G7" s="38" t="inlineStr">
        <is>
          <t>🔴 Aguardando — Sirius BI cohort report</t>
        </is>
      </c>
    </row>
    <row r="8" ht="70" customHeight="1">
      <c r="A8" s="19" t="n">
        <v>4</v>
      </c>
      <c r="B8" s="38" t="inlineStr">
        <is>
          <t>CAC: promo vs. outros canais</t>
        </is>
      </c>
      <c r="C8" s="39" t="inlineStr">
        <is>
          <t>«Quanto custaria atrair mesmo usuário sem promo?»</t>
        </is>
      </c>
      <c r="D8" s="40" t="inlineStr">
        <is>
          <t>Ruslan (hipótese)</t>
        </is>
      </c>
      <c r="E8" s="40" t="inlineStr">
        <is>
          <t>Sem benchmark não conseguimos dizer se R$ 1.7/ativação é caro ou barato.</t>
        </is>
      </c>
      <c r="F8" s="40" t="inlineStr">
        <is>
          <t>Custo de aquisição por canal (Meta ads, Google ads, ASO, referral) e CAC blended de 2026.</t>
        </is>
      </c>
      <c r="G8" s="38" t="inlineStr">
        <is>
          <t>🟡 Pedir ao marketing</t>
        </is>
      </c>
    </row>
    <row r="9" ht="70" customHeight="1">
      <c r="A9" s="19" t="n">
        <v>5</v>
      </c>
      <c r="B9" s="38" t="inlineStr">
        <is>
          <t>Custo de placement por parceiro</t>
        </is>
      </c>
      <c r="C9" s="39" t="inlineStr">
        <is>
          <t>Custo total = bônus + pagamento ao parceiro</t>
        </is>
      </c>
      <c r="D9" s="40" t="inlineStr">
        <is>
          <t>Ruslan (hipótese)</t>
        </is>
      </c>
      <c r="E9" s="40" t="inlineStr">
        <is>
          <t>Hoje só medimos bônus (subsídio). Pagamento ao blogueiro/Hubees/Instagram NÃO está incluído — ROI real pode ser bem menor.</t>
        </is>
      </c>
      <c r="F9" s="40" t="inlineStr">
        <is>
          <t>Tabela com R$ pago a cada parceiro por campanha (fee fixo, % share, custo de criativo).</t>
        </is>
      </c>
      <c r="G9" s="38" t="inlineStr">
        <is>
          <t>🟡 Pedir ao financeiro</t>
        </is>
      </c>
    </row>
    <row r="10" ht="70" customHeight="1">
      <c r="A10" s="19" t="n">
        <v>6</v>
      </c>
      <c r="B10" s="38" t="inlineStr">
        <is>
          <t>Distribuição geográfica das ativações</t>
        </is>
      </c>
      <c r="C10" s="39" t="inlineStr">
        <is>
          <t>Onde estão os usuários ativados?</t>
        </is>
      </c>
      <c r="D10" s="40" t="inlineStr">
        <is>
          <t>Ruslan (hipótese)</t>
        </is>
      </c>
      <c r="E10" s="40" t="inlineStr">
        <is>
          <t>Promocode Onde Ir BC deveria ativar em SC. Se ativações vêm de SP, há mismatch parceiro vs. região.</t>
        </is>
      </c>
      <c r="F10" s="40" t="inlineStr">
        <is>
          <t>Ativações por cidade × promocode.</t>
        </is>
      </c>
      <c r="G10" s="38" t="inlineStr">
        <is>
          <t>🟡 Pedir Sirius BI</t>
        </is>
      </c>
    </row>
    <row r="11" ht="70" customHeight="1">
      <c r="A11" s="19" t="n">
        <v>7</v>
      </c>
      <c r="B11" s="38" t="inlineStr">
        <is>
          <t>Dinâmica W/W (semana a semana)</t>
        </is>
      </c>
      <c r="C11" s="39" t="inlineStr">
        <is>
          <t>«Обновление раз в неделю»</t>
        </is>
      </c>
      <c r="D11" s="40" t="inlineStr">
        <is>
          <t>Ilya (07.05.2026, 15:04)</t>
        </is>
      </c>
      <c r="E11" s="40" t="inlineStr">
        <is>
          <t>Hoje temos snapshot acumulado. Dinâmica W/W mostra se a campanha está «morrendo» ou crescendo.</t>
        </is>
      </c>
      <c r="F11" s="40" t="inlineStr">
        <is>
          <t>Snapshot semanal automático (toda segunda-feira) — começamos coletando manualmente.</t>
        </is>
      </c>
      <c r="G11" s="38" t="inlineStr">
        <is>
          <t>🟢 Em andamento — primeira linha em Snapshots semanais</t>
        </is>
      </c>
    </row>
    <row r="12" ht="70" customHeight="1">
      <c r="A12" s="19" t="n">
        <v>8</v>
      </c>
      <c r="B12" s="38" t="inlineStr">
        <is>
          <t>UTM/source de cada ativação</t>
        </is>
      </c>
      <c r="C12" s="39" t="inlineStr">
        <is>
          <t>De qual canal exato veio cada usuário?</t>
        </is>
      </c>
      <c r="D12" s="40" t="inlineStr">
        <is>
          <t>Ruslan (hipótese)</t>
        </is>
      </c>
      <c r="E12" s="40" t="inlineStr">
        <is>
          <t>Promocode pode ser divulgado via Instagram, email, push, banner — sem UTM não sabemos qual canal funciona.</t>
        </is>
      </c>
      <c r="F12" s="40" t="inlineStr">
        <is>
          <t>Coluna «utm_source» no relatório de ativações.</t>
        </is>
      </c>
      <c r="G12" s="38" t="inlineStr">
        <is>
          <t>🔴 Aguardando — pedir Sirius BI</t>
        </is>
      </c>
    </row>
    <row r="13" ht="70" customHeight="1">
      <c r="A13" s="19" t="n">
        <v>9</v>
      </c>
      <c r="B13" s="38" t="inlineStr">
        <is>
          <t>Qualidade das ativações (fraud-check)</t>
        </is>
      </c>
      <c r="C13" s="39" t="inlineStr">
        <is>
          <t>Quantas ativações são reais vs. abuso?</t>
        </is>
      </c>
      <c r="D13" s="40" t="inlineStr">
        <is>
          <t>Ruslan (hipótese)</t>
        </is>
      </c>
      <c r="E13" s="40" t="inlineStr">
        <is>
          <t>ONDEIRBC1: 162 ativações em 4 meses por «blogueiro» com 300 códigos. Possível farm de contas / abuso.</t>
        </is>
      </c>
      <c r="F13" s="40" t="inlineStr">
        <is>
          <t>Flags de fraud do Sirius + cross-check device-id, IP, padrão de uso suspeito.</t>
        </is>
      </c>
      <c r="G13" s="38" t="inlineStr">
        <is>
          <t>🟡 Pedir ao time anti-fraud</t>
        </is>
      </c>
    </row>
    <row r="14" ht="70" customHeight="1">
      <c r="A14" s="19" t="n">
        <v>10</v>
      </c>
      <c r="B14" s="38" t="inlineStr">
        <is>
          <t>Comparação com não-cohort (controle)</t>
        </is>
      </c>
      <c r="C14" s="39" t="inlineStr">
        <is>
          <t>Quanto desses usuários teriam vindo de qualquer forma?</t>
        </is>
      </c>
      <c r="D14" s="40" t="inlineStr">
        <is>
          <t>Ruslan (hipótese)</t>
        </is>
      </c>
      <c r="E14" s="40" t="inlineStr">
        <is>
          <t>Sem grupo de controle, atribuímos 100% das corridas ao promo, mas parte viria sem ele.</t>
        </is>
      </c>
      <c r="F14" s="40" t="inlineStr">
        <is>
          <t>Estimativa de baseline (% de ativações que ocorreriam organicamente).</t>
        </is>
      </c>
      <c r="G14" s="38" t="inlineStr">
        <is>
          <t>🟢 Nice to have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6" customWidth="1" min="3" max="3"/>
    <col width="22" customWidth="1" min="4" max="4"/>
    <col width="82" customWidth="1" min="5" max="5"/>
  </cols>
  <sheetData>
    <row r="2">
      <c r="B2" s="37" t="inlineStr">
        <is>
          <t>Metodologia, fontes e regra de prioridade</t>
        </is>
      </c>
    </row>
    <row r="3" ht="42" customHeight="1">
      <c r="B3" s="41" t="inlineStr">
        <is>
          <t>Regra: CSV (mais recente, 28/05) é primária. Excel (24/05) é usado como referência. Em divergências não-críticas, prevalece CSV. Divergências críticas são marcadas em Cartões Pendentes.</t>
        </is>
      </c>
    </row>
    <row r="5">
      <c r="B5" s="18" t="inlineStr">
        <is>
          <t>Métrica</t>
        </is>
      </c>
      <c r="C5" s="18" t="inlineStr">
        <is>
          <t>Fonte primária</t>
        </is>
      </c>
      <c r="D5" s="18" t="inlineStr">
        <is>
          <t>Fonte referência</t>
        </is>
      </c>
      <c r="E5" s="18" t="inlineStr">
        <is>
          <t>Observação</t>
        </is>
      </c>
    </row>
    <row r="6" ht="42" customHeight="1">
      <c r="B6" s="38" t="inlineStr">
        <is>
          <t>Ativações</t>
        </is>
      </c>
      <c r="C6" s="40" t="inlineStr">
        <is>
          <t>CSV (28/05)</t>
        </is>
      </c>
      <c r="D6" s="40" t="inlineStr">
        <is>
          <t>Excel (24/05)</t>
        </is>
      </c>
      <c r="E6" s="42" t="inlineStr">
        <is>
          <t>Discrepância pequena (HUBEES 29/29, NIX 108/108, ONDEIRBC1 164 vs 162). CSV mais recente.</t>
        </is>
      </c>
    </row>
    <row r="7" ht="42" customHeight="1">
      <c r="B7" s="38" t="inlineStr">
        <is>
          <t>Novos clientes</t>
        </is>
      </c>
      <c r="C7" s="40" t="inlineStr">
        <is>
          <t>CSV</t>
        </is>
      </c>
      <c r="D7" s="40" t="inlineStr">
        <is>
          <t>Excel</t>
        </is>
      </c>
      <c r="E7" s="42" t="inlineStr">
        <is>
          <t>Definições diferentes: CSV «новый клиент» = cliente recente; Excel «привлечённый» = first contact. CSV usado por padrão.</t>
        </is>
      </c>
    </row>
    <row r="8" ht="42" customHeight="1">
      <c r="B8" s="38" t="inlineStr">
        <is>
          <t>Corridas</t>
        </is>
      </c>
      <c r="C8" s="40" t="inlineStr">
        <is>
          <t>CSV (janela de campanha)</t>
        </is>
      </c>
      <c r="D8" s="40" t="inlineStr">
        <is>
          <t>Excel (lifetime cohort)</t>
        </is>
      </c>
      <c r="E8" s="42" t="inlineStr">
        <is>
          <t>DIVERGÊNCIA CRÍTICA: HUBEES 26 vs 446 — diferença metodológica, NÃO defasagem temporal. Vide card LTV em Pending.</t>
        </is>
      </c>
    </row>
    <row r="9" ht="42" customHeight="1">
      <c r="B9" s="38" t="inlineStr">
        <is>
          <t>Aluguéis PB</t>
        </is>
      </c>
      <c r="C9" s="40" t="inlineStr">
        <is>
          <t>CSV</t>
        </is>
      </c>
      <c r="D9" s="40" t="inlineStr">
        <is>
          <t>Excel</t>
        </is>
      </c>
      <c r="E9" s="42" t="inlineStr">
        <is>
          <t>Diferença significativa (HUBEES 3 vs 26). Mesma causa: janela vs lifetime.</t>
        </is>
      </c>
    </row>
    <row r="10" ht="42" customHeight="1">
      <c r="B10" s="38" t="inlineStr">
        <is>
          <t>GMV total / Cash</t>
        </is>
      </c>
      <c r="C10" s="40" t="inlineStr">
        <is>
          <t>CSV</t>
        </is>
      </c>
      <c r="D10" s="40" t="inlineStr">
        <is>
          <t>—</t>
        </is>
      </c>
      <c r="E10" s="42" t="inlineStr">
        <is>
          <t>Apenas no CSV. Valores reais por promocode.</t>
        </is>
      </c>
    </row>
    <row r="11" ht="42" customHeight="1">
      <c r="B11" s="38" t="inlineStr">
        <is>
          <t>Bônus</t>
        </is>
      </c>
      <c r="C11" s="40" t="inlineStr">
        <is>
          <t>CSV: GMV − GMV Cash</t>
        </is>
      </c>
      <c r="D11" s="40" t="inlineStr">
        <is>
          <t>—</t>
        </is>
      </c>
      <c r="E11" s="42" t="inlineStr">
        <is>
          <t>Bônus efetivamente usado. NÃO inclui pagamento ao parceiro (vide card 'Placement').</t>
        </is>
      </c>
    </row>
    <row r="12" ht="42" customHeight="1">
      <c r="B12" s="38" t="inlineStr">
        <is>
          <t>Orçamento máx.</t>
        </is>
      </c>
      <c r="C12" s="40" t="inlineStr">
        <is>
          <t>CSV</t>
        </is>
      </c>
      <c r="D12" s="40" t="inlineStr">
        <is>
          <t>—</t>
        </is>
      </c>
      <c r="E12" s="42" t="inlineStr">
        <is>
          <t>Limite teórico. HUBEES tem R$ 250k budget — usado 0.03%.</t>
        </is>
      </c>
    </row>
    <row r="13" ht="42" customHeight="1">
      <c r="B13" s="38" t="inlineStr">
        <is>
          <t>Códigos emitidos</t>
        </is>
      </c>
      <c r="C13" s="40" t="inlineStr">
        <is>
          <t>CSV</t>
        </is>
      </c>
      <c r="D13" s="40" t="inlineStr">
        <is>
          <t>—</t>
        </is>
      </c>
      <c r="E13" s="42" t="inlineStr">
        <is>
          <t>Pool total de códigos disponibilizados.</t>
        </is>
      </c>
    </row>
    <row r="14" ht="42" customHeight="1">
      <c r="B14" s="38" t="inlineStr">
        <is>
          <t>Data 1ª ativação</t>
        </is>
      </c>
      <c r="C14" s="40" t="inlineStr">
        <is>
          <t>Excel (referência)</t>
        </is>
      </c>
      <c r="D14" s="40" t="inlineStr">
        <is>
          <t>CSV (período de campanha)</t>
        </is>
      </c>
      <c r="E14" s="42" t="inlineStr">
        <is>
          <t>Excel registra a primeira ativação histórica. CSV mostra apenas a janela ativa.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8" customHeight="1">
      <c r="A1" s="43" t="inlineStr"/>
      <c r="B1" s="43" t="inlineStr"/>
      <c r="C1" s="43" t="inlineStr"/>
      <c r="D1" s="43" t="inlineStr"/>
      <c r="E1" s="43" t="inlineStr"/>
      <c r="F1" s="44" t="inlineStr">
        <is>
          <t>CSV: 20260528_164649.csv</t>
        </is>
      </c>
      <c r="G1" s="44" t="inlineStr">
        <is>
          <t>CSV</t>
        </is>
      </c>
      <c r="H1" s="44" t="inlineStr">
        <is>
          <t>CSV</t>
        </is>
      </c>
      <c r="I1" s="44" t="inlineStr">
        <is>
          <t>CSV</t>
        </is>
      </c>
      <c r="J1" s="44" t="inlineStr">
        <is>
          <t>CSV</t>
        </is>
      </c>
      <c r="K1" s="44" t="inlineStr">
        <is>
          <t>CSV</t>
        </is>
      </c>
      <c r="L1" s="44" t="inlineStr">
        <is>
          <t>CSV</t>
        </is>
      </c>
      <c r="M1" s="44" t="inlineStr">
        <is>
          <t>CSV</t>
        </is>
      </c>
      <c r="N1" s="44" t="inlineStr">
        <is>
          <t>CSV</t>
        </is>
      </c>
      <c r="O1" s="44" t="inlineStr">
        <is>
          <t>CSV</t>
        </is>
      </c>
      <c r="P1" s="44" t="inlineStr">
        <is>
          <t>CSV</t>
        </is>
      </c>
      <c r="Q1" s="44" t="inlineStr">
        <is>
          <t>CSV</t>
        </is>
      </c>
      <c r="R1" s="44" t="inlineStr">
        <is>
          <t>CSV</t>
        </is>
      </c>
      <c r="S1" s="45" t="inlineStr">
        <is>
          <t>Excel: pb_sc_promocodes_24.05.xlsx (ref)</t>
        </is>
      </c>
      <c r="T1" s="45" t="inlineStr">
        <is>
          <t>Excel ref</t>
        </is>
      </c>
      <c r="U1" s="45" t="inlineStr">
        <is>
          <t>Excel ref</t>
        </is>
      </c>
    </row>
    <row r="2" ht="44" customHeight="1">
      <c r="A2" s="18" t="inlineStr">
        <is>
          <t>Promocode</t>
        </is>
      </c>
      <c r="B2" s="18" t="inlineStr">
        <is>
          <t>Campanha (CSV)</t>
        </is>
      </c>
      <c r="C2" s="18" t="inlineStr">
        <is>
          <t>Parceiro</t>
        </is>
      </c>
      <c r="D2" s="18" t="inlineStr">
        <is>
          <t>Período início (CSV)</t>
        </is>
      </c>
      <c r="E2" s="18" t="inlineStr">
        <is>
          <t>Período fim (CSV)</t>
        </is>
      </c>
      <c r="F2" s="18" t="inlineStr">
        <is>
          <t>Códigos emitidos</t>
        </is>
      </c>
      <c r="G2" s="18" t="inlineStr">
        <is>
          <t>Ativações</t>
        </is>
      </c>
      <c r="H2" s="18" t="inlineStr">
        <is>
          <t>Ativações novos clientes</t>
        </is>
      </c>
      <c r="I2" s="18" t="inlineStr">
        <is>
          <t>Primeiras corridas (1ª trip)</t>
        </is>
      </c>
      <c r="J2" s="18" t="inlineStr">
        <is>
          <t>Corridas</t>
        </is>
      </c>
      <c r="K2" s="18" t="inlineStr">
        <is>
          <t>Aluguéis PB</t>
        </is>
      </c>
      <c r="L2" s="18" t="inlineStr">
        <is>
          <t>GMV 1ª (R$)</t>
        </is>
      </c>
      <c r="M2" s="18" t="inlineStr">
        <is>
          <t>GMV Cash 1ª (R$)</t>
        </is>
      </c>
      <c r="N2" s="18" t="inlineStr">
        <is>
          <t>GMV total (R$)</t>
        </is>
      </c>
      <c r="O2" s="18" t="inlineStr">
        <is>
          <t>GMV Cash (R$)</t>
        </is>
      </c>
      <c r="P2" s="18" t="inlineStr">
        <is>
          <t>GMV PB (R$)</t>
        </is>
      </c>
      <c r="Q2" s="18" t="inlineStr">
        <is>
          <t>GMV Cash PB (R$)</t>
        </is>
      </c>
      <c r="R2" s="18" t="inlineStr">
        <is>
          <t>Orçamento máx. (R$)</t>
        </is>
      </c>
      <c r="S2" s="18" t="inlineStr">
        <is>
          <t>Excel: Corridas lifetime</t>
        </is>
      </c>
      <c r="T2" s="18" t="inlineStr">
        <is>
          <t>Excel: PB lifetime</t>
        </is>
      </c>
      <c r="U2" s="18" t="inlineStr">
        <is>
          <t>Excel: 1ª ativação</t>
        </is>
      </c>
    </row>
    <row r="3">
      <c r="A3" s="20" t="inlineStr">
        <is>
          <t>HUBEES</t>
        </is>
      </c>
      <c r="B3" s="20" t="inlineStr">
        <is>
          <t>HUBEES</t>
        </is>
      </c>
      <c r="C3" s="20" t="inlineStr">
        <is>
          <t>Hubees</t>
        </is>
      </c>
      <c r="D3" s="46" t="n">
        <v>46056</v>
      </c>
      <c r="E3" s="46" t="n">
        <v>46088</v>
      </c>
      <c r="F3" s="20" t="n">
        <v>5000</v>
      </c>
      <c r="G3" s="20" t="n">
        <v>29</v>
      </c>
      <c r="H3" s="20" t="n">
        <v>28</v>
      </c>
      <c r="I3" s="20" t="n">
        <v>8</v>
      </c>
      <c r="J3" s="20" t="n">
        <v>26</v>
      </c>
      <c r="K3" s="20" t="n">
        <v>3</v>
      </c>
      <c r="L3" s="23" t="n">
        <v>80.08</v>
      </c>
      <c r="M3" s="23" t="n">
        <v>355.34</v>
      </c>
      <c r="N3" s="23" t="n">
        <v>384.09</v>
      </c>
      <c r="O3" s="23" t="n">
        <v>355.34</v>
      </c>
      <c r="P3" s="23" t="n">
        <v>38</v>
      </c>
      <c r="Q3" s="23" t="n">
        <v>0</v>
      </c>
      <c r="R3" s="23" t="n">
        <v>250000</v>
      </c>
      <c r="S3" s="47" t="n">
        <v>446</v>
      </c>
      <c r="T3" s="47" t="n">
        <v>26</v>
      </c>
      <c r="U3" s="48" t="n">
        <v>46008</v>
      </c>
    </row>
    <row r="4">
      <c r="A4" s="20" t="inlineStr">
        <is>
          <t>NIX</t>
        </is>
      </c>
      <c r="B4" s="20" t="inlineStr">
        <is>
          <t>Nix (instagram)</t>
        </is>
      </c>
      <c r="C4" s="20" t="inlineStr">
        <is>
          <t>NIX</t>
        </is>
      </c>
      <c r="D4" s="46" t="n">
        <v>46130</v>
      </c>
      <c r="E4" s="46" t="n">
        <v>46190</v>
      </c>
      <c r="F4" s="20" t="n">
        <v>500</v>
      </c>
      <c r="G4" s="20" t="n">
        <v>108</v>
      </c>
      <c r="H4" s="20" t="n">
        <v>104</v>
      </c>
      <c r="I4" s="20" t="n">
        <v>27</v>
      </c>
      <c r="J4" s="20" t="n">
        <v>187</v>
      </c>
      <c r="K4" s="20" t="n">
        <v>2</v>
      </c>
      <c r="L4" s="23" t="n">
        <v>359.5</v>
      </c>
      <c r="M4" s="23" t="n">
        <v>1695.37</v>
      </c>
      <c r="N4" s="23" t="n">
        <v>1849.07</v>
      </c>
      <c r="O4" s="23" t="n">
        <v>1695.37</v>
      </c>
      <c r="P4" s="23" t="n">
        <v>10</v>
      </c>
      <c r="Q4" s="23" t="n">
        <v>10</v>
      </c>
      <c r="R4" s="23" t="n">
        <v>2500</v>
      </c>
      <c r="S4" s="47" t="n">
        <v>456</v>
      </c>
      <c r="T4" s="47" t="n">
        <v>17</v>
      </c>
      <c r="U4" s="48" t="n">
        <v>46130</v>
      </c>
    </row>
    <row r="5">
      <c r="A5" s="20" t="inlineStr">
        <is>
          <t>ONDEIRBC1</t>
        </is>
      </c>
      <c r="B5" s="20" t="inlineStr">
        <is>
          <t>блоггер</t>
        </is>
      </c>
      <c r="C5" s="20" t="inlineStr">
        <is>
          <t>Onde Ir BC</t>
        </is>
      </c>
      <c r="D5" s="46" t="n">
        <v>46056</v>
      </c>
      <c r="E5" s="46" t="n">
        <v>46388</v>
      </c>
      <c r="F5" s="20" t="n">
        <v>300</v>
      </c>
      <c r="G5" s="20" t="n">
        <v>164</v>
      </c>
      <c r="H5" s="20" t="n">
        <v>162</v>
      </c>
      <c r="I5" s="20" t="n">
        <v>105</v>
      </c>
      <c r="J5" s="20" t="n">
        <v>414</v>
      </c>
      <c r="K5" s="20" t="n">
        <v>3</v>
      </c>
      <c r="L5" s="23" t="n">
        <v>1470.35</v>
      </c>
      <c r="M5" s="23" t="n">
        <v>3671.53</v>
      </c>
      <c r="N5" s="23" t="n">
        <v>3954.97</v>
      </c>
      <c r="O5" s="23" t="n">
        <v>3671.53</v>
      </c>
      <c r="P5" s="23" t="n">
        <v>62</v>
      </c>
      <c r="Q5" s="23" t="n">
        <v>62</v>
      </c>
      <c r="R5" s="23" t="n">
        <v>6300</v>
      </c>
      <c r="S5" s="47" t="n">
        <v>343</v>
      </c>
      <c r="T5" s="47" t="n">
        <v>2</v>
      </c>
      <c r="U5" s="48" t="n">
        <v>46063</v>
      </c>
    </row>
    <row r="6">
      <c r="A6" s="49" t="inlineStr">
        <is>
          <t>TOTAL</t>
        </is>
      </c>
      <c r="B6" s="50" t="n"/>
      <c r="C6" s="50" t="n"/>
      <c r="D6" s="50" t="n"/>
      <c r="E6" s="50" t="n"/>
      <c r="F6" s="49">
        <f>SUM(F3:F5)</f>
        <v/>
      </c>
      <c r="G6" s="49">
        <f>SUM(G3:G5)</f>
        <v/>
      </c>
      <c r="H6" s="49">
        <f>SUM(H3:H5)</f>
        <v/>
      </c>
      <c r="I6" s="49">
        <f>SUM(I3:I5)</f>
        <v/>
      </c>
      <c r="J6" s="49">
        <f>SUM(J3:J5)</f>
        <v/>
      </c>
      <c r="K6" s="49">
        <f>SUM(K3:K5)</f>
        <v/>
      </c>
      <c r="L6" s="51">
        <f>SUM(L3:L5)</f>
        <v/>
      </c>
      <c r="M6" s="51">
        <f>SUM(M3:M5)</f>
        <v/>
      </c>
      <c r="N6" s="51">
        <f>SUM(N3:N5)</f>
        <v/>
      </c>
      <c r="O6" s="51">
        <f>SUM(O3:O5)</f>
        <v/>
      </c>
      <c r="P6" s="51">
        <f>SUM(P3:P5)</f>
        <v/>
      </c>
      <c r="Q6" s="51">
        <f>SUM(Q3:Q5)</f>
        <v/>
      </c>
      <c r="R6" s="51">
        <f>SUM(R3:R5)</f>
        <v/>
      </c>
      <c r="S6" s="49">
        <f>SUM(S3:S5)</f>
        <v/>
      </c>
      <c r="T6" s="49">
        <f>SUM(T3:T5)</f>
        <v/>
      </c>
      <c r="U6" s="5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8" t="inlineStr">
        <is>
          <t>Data snapshot</t>
        </is>
      </c>
      <c r="B1" s="18" t="inlineStr">
        <is>
          <t>Promocode</t>
        </is>
      </c>
      <c r="C1" s="18" t="inlineStr">
        <is>
          <t>Ativações</t>
        </is>
      </c>
      <c r="D1" s="18" t="inlineStr">
        <is>
          <t>Corridas</t>
        </is>
      </c>
      <c r="E1" s="18" t="inlineStr">
        <is>
          <t>Aluguéis PB</t>
        </is>
      </c>
      <c r="F1" s="18" t="inlineStr">
        <is>
          <t>GMV (R$)</t>
        </is>
      </c>
      <c r="G1" s="18" t="inlineStr">
        <is>
          <t>Cash (R$)</t>
        </is>
      </c>
      <c r="H1" s="18" t="inlineStr">
        <is>
          <t>Bônus (R$)</t>
        </is>
      </c>
      <c r="I1" s="18" t="inlineStr">
        <is>
          <t>ROI</t>
        </is>
      </c>
      <c r="J1" s="18" t="inlineStr">
        <is>
          <t>Comentário</t>
        </is>
      </c>
    </row>
    <row r="2">
      <c r="A2" s="52" t="n">
        <v>46170</v>
      </c>
      <c r="B2" s="53" t="inlineStr">
        <is>
          <t>HUBEES</t>
        </is>
      </c>
      <c r="C2" s="53" t="n">
        <v>29</v>
      </c>
      <c r="D2" s="53" t="n">
        <v>26</v>
      </c>
      <c r="E2" s="53" t="n">
        <v>3</v>
      </c>
      <c r="F2" s="54" t="n">
        <v>422.09</v>
      </c>
      <c r="G2" s="54" t="n">
        <v>355.34</v>
      </c>
      <c r="H2" s="54" t="n">
        <v>66.75</v>
      </c>
      <c r="I2" s="55">
        <f>IFERROR((G2-H2)/H2,0)</f>
        <v/>
      </c>
      <c r="J2" s="53" t="inlineStr">
        <is>
          <t>Linha de base — CSV de 28/05 como primária</t>
        </is>
      </c>
    </row>
    <row r="3">
      <c r="A3" s="52" t="n">
        <v>46170</v>
      </c>
      <c r="B3" s="53" t="inlineStr">
        <is>
          <t>NIX</t>
        </is>
      </c>
      <c r="C3" s="53" t="n">
        <v>108</v>
      </c>
      <c r="D3" s="53" t="n">
        <v>187</v>
      </c>
      <c r="E3" s="53" t="n">
        <v>2</v>
      </c>
      <c r="F3" s="54" t="n">
        <v>1859.07</v>
      </c>
      <c r="G3" s="54" t="n">
        <v>1705.37</v>
      </c>
      <c r="H3" s="54" t="n">
        <v>153.7</v>
      </c>
      <c r="I3" s="55">
        <f>IFERROR((G3-H3)/H3,0)</f>
        <v/>
      </c>
      <c r="J3" s="53" t="inlineStr">
        <is>
          <t>Linha de base — CSV de 28/05 como primária</t>
        </is>
      </c>
    </row>
    <row r="4">
      <c r="A4" s="52" t="n">
        <v>46170</v>
      </c>
      <c r="B4" s="53" t="inlineStr">
        <is>
          <t>ONDEIRBC1</t>
        </is>
      </c>
      <c r="C4" s="53" t="n">
        <v>164</v>
      </c>
      <c r="D4" s="53" t="n">
        <v>414</v>
      </c>
      <c r="E4" s="53" t="n">
        <v>3</v>
      </c>
      <c r="F4" s="54" t="n">
        <v>4016.97</v>
      </c>
      <c r="G4" s="54" t="n">
        <v>3733.53</v>
      </c>
      <c r="H4" s="54" t="n">
        <v>283.4399999999996</v>
      </c>
      <c r="I4" s="55">
        <f>IFERROR((G4-H4)/H4,0)</f>
        <v/>
      </c>
      <c r="J4" s="53" t="inlineStr">
        <is>
          <t>Linha de base — CSV de 28/05 como primária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2026-05-28T18:30:26Z</dcterms:created>
  <dcterms:modified xsi:type="dcterms:W3CDTF">2026-05-28T18:30:26Z</dcterms:modified>
</cp:coreProperties>
</file>